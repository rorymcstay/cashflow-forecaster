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Savings &amp; Investments" sheetId="2" state="visible" r:id="rId2"/>
    <sheet name="Upcoming Expenses" sheetId="3" state="visible" r:id="rId3"/>
    <sheet name="Cash Flow Forecast" sheetId="4" state="visible" r:id="rId4"/>
  </sheets>
  <definedNames>
    <definedName name="ForecastMonth">'Cash Flow Forecast'!$B$4</definedName>
    <definedName name="OpeningBalance">'Cash Flow Forecast'!$E$4</definedName>
    <definedName name="ClosingEffectiveBalance">'Cash Flow Forecast'!$C$40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£#,##0.00"/>
    <numFmt numFmtId="165" formatCode="DD-MMM-YYYY"/>
    <numFmt numFmtId="166" formatCode="yyyy-mm-dd"/>
    <numFmt numFmtId="167" formatCode="MMMM YYYY"/>
    <numFmt numFmtId="168" formatCode="DD-MMM (DDD)"/>
  </numFmts>
  <fonts count="9">
    <font>
      <name val="Calibri"/>
      <family val="2"/>
      <color theme="1"/>
      <sz val="11"/>
      <scheme val="minor"/>
    </font>
    <font>
      <b val="1"/>
      <color rgb="002F5233"/>
      <sz val="16"/>
    </font>
    <font>
      <i val="1"/>
      <color rgb="00666666"/>
      <sz val="10"/>
    </font>
    <font>
      <b val="1"/>
      <color rgb="00FFFFFF"/>
      <sz val="11"/>
    </font>
    <font>
      <b val="1"/>
      <color rgb="002F5233"/>
      <sz val="10"/>
    </font>
    <font>
      <i val="1"/>
      <color rgb="00888888"/>
      <sz val="9"/>
    </font>
    <font>
      <b val="1"/>
      <sz val="1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8EDE9"/>
      </patternFill>
    </fill>
    <fill>
      <patternFill patternType="solid">
        <fgColor rgb="00FFF9E6"/>
      </patternFill>
    </fill>
    <fill>
      <patternFill patternType="solid">
        <fgColor rgb="00D9E4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0" fontId="0" fillId="4" borderId="1" applyAlignment="1" pivotButton="0" quotePrefix="0" xfId="0">
      <alignment horizontal="center"/>
    </xf>
    <xf numFmtId="0" fontId="5" fillId="0" borderId="1" pivotButton="0" quotePrefix="0" xfId="0"/>
    <xf numFmtId="0" fontId="6" fillId="5" borderId="1" pivotButton="0" quotePrefix="0" xfId="0"/>
    <xf numFmtId="0" fontId="0" fillId="5" borderId="1" pivotButton="0" quotePrefix="0" xfId="0"/>
    <xf numFmtId="164" fontId="6" fillId="5" borderId="1" pivotButton="0" quotePrefix="0" xfId="0"/>
    <xf numFmtId="0" fontId="6" fillId="0" borderId="1" pivotButton="0" quotePrefix="0" xfId="0"/>
    <xf numFmtId="164" fontId="0" fillId="0" borderId="1" pivotButton="0" quotePrefix="0" xfId="0"/>
    <xf numFmtId="0" fontId="7" fillId="5" borderId="1" pivotButton="0" quotePrefix="0" xfId="0"/>
    <xf numFmtId="164" fontId="7" fillId="5" borderId="1" pivotButton="0" quotePrefix="0" xfId="0"/>
    <xf numFmtId="165" fontId="0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167" fontId="8" fillId="4" borderId="1" pivotButton="0" quotePrefix="0" xfId="0"/>
    <xf numFmtId="164" fontId="8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4" customWidth="1" min="4" max="4"/>
    <col width="30" customWidth="1" min="5" max="5"/>
  </cols>
  <sheetData>
    <row r="1">
      <c r="A1" s="1" t="inlineStr">
        <is>
          <t>Household Budget</t>
        </is>
      </c>
    </row>
    <row r="2">
      <c r="A2" s="2" t="inlineStr">
        <is>
          <t>Fill in the yellow cells. Day of Month is optional — set it to feed the Cash Flow Forecast sheet.</t>
        </is>
      </c>
    </row>
    <row r="4" ht="20" customHeight="1">
      <c r="A4" s="3" t="inlineStr">
        <is>
          <t>Category</t>
        </is>
      </c>
      <c r="B4" s="3" t="inlineStr">
        <is>
          <t>Item</t>
        </is>
      </c>
      <c r="C4" s="3" t="inlineStr">
        <is>
          <t>Monthly Amount</t>
        </is>
      </c>
      <c r="D4" s="3" t="inlineStr">
        <is>
          <t>Day of Month</t>
        </is>
      </c>
      <c r="E4" s="3" t="inlineStr">
        <is>
          <t>Notes</t>
        </is>
      </c>
    </row>
    <row r="5">
      <c r="A5" s="4" t="inlineStr">
        <is>
          <t>INCOME</t>
        </is>
      </c>
      <c r="B5" s="5" t="n"/>
      <c r="C5" s="5" t="n"/>
      <c r="D5" s="5" t="n"/>
      <c r="E5" s="5" t="n"/>
    </row>
    <row r="6">
      <c r="A6" s="6" t="inlineStr">
        <is>
          <t>Income</t>
        </is>
      </c>
      <c r="B6" s="6" t="inlineStr">
        <is>
          <t>Household member 1 (take-home)</t>
        </is>
      </c>
      <c r="C6" s="7" t="n">
        <v>0</v>
      </c>
      <c r="D6" s="8" t="n"/>
      <c r="E6" s="9" t="inlineStr">
        <is>
          <t>Fill in</t>
        </is>
      </c>
    </row>
    <row r="7">
      <c r="A7" s="6" t="inlineStr">
        <is>
          <t>Income</t>
        </is>
      </c>
      <c r="B7" s="6" t="inlineStr">
        <is>
          <t>Household member 2 (take-home)</t>
        </is>
      </c>
      <c r="C7" s="7" t="n">
        <v>0</v>
      </c>
      <c r="D7" s="8" t="n"/>
      <c r="E7" s="9" t="inlineStr">
        <is>
          <t>Fill in</t>
        </is>
      </c>
    </row>
    <row r="8">
      <c r="A8" s="6" t="inlineStr">
        <is>
          <t>Income</t>
        </is>
      </c>
      <c r="B8" s="6" t="inlineStr">
        <is>
          <t>Other income</t>
        </is>
      </c>
      <c r="C8" s="7" t="n">
        <v>0</v>
      </c>
      <c r="D8" s="8" t="n"/>
      <c r="E8" s="9" t="inlineStr">
        <is>
          <t>e.g. side income, bonuses</t>
        </is>
      </c>
    </row>
    <row r="9">
      <c r="A9" s="6" t="inlineStr">
        <is>
          <t>Income</t>
        </is>
      </c>
      <c r="B9" s="6" t="inlineStr"/>
      <c r="C9" s="7" t="n">
        <v>0</v>
      </c>
      <c r="D9" s="8" t="n"/>
      <c r="E9" s="9" t="inlineStr"/>
    </row>
    <row r="10">
      <c r="A10" s="6" t="inlineStr">
        <is>
          <t>Income</t>
        </is>
      </c>
      <c r="B10" s="6" t="inlineStr"/>
      <c r="C10" s="7" t="n">
        <v>0</v>
      </c>
      <c r="D10" s="8" t="n"/>
      <c r="E10" s="9" t="inlineStr"/>
    </row>
    <row r="11">
      <c r="A11" s="6" t="inlineStr">
        <is>
          <t>Income</t>
        </is>
      </c>
      <c r="B11" s="6" t="inlineStr"/>
      <c r="C11" s="7" t="n">
        <v>0</v>
      </c>
      <c r="D11" s="8" t="n"/>
      <c r="E11" s="9" t="inlineStr"/>
    </row>
    <row r="12">
      <c r="A12" s="10" t="inlineStr">
        <is>
          <t>Total Income</t>
        </is>
      </c>
      <c r="B12" s="11" t="n"/>
      <c r="C12" s="12">
        <f>SUM(C6:C11)</f>
        <v/>
      </c>
      <c r="D12" s="11" t="n"/>
      <c r="E12" s="11" t="n"/>
    </row>
    <row r="14">
      <c r="A14" s="4" t="inlineStr">
        <is>
          <t>HOUSING</t>
        </is>
      </c>
      <c r="B14" s="5" t="n"/>
      <c r="C14" s="5" t="n"/>
      <c r="D14" s="5" t="n"/>
      <c r="E14" s="5" t="n"/>
    </row>
    <row r="15">
      <c r="A15" s="6" t="inlineStr">
        <is>
          <t>Housing</t>
        </is>
      </c>
      <c r="B15" s="6" t="inlineStr">
        <is>
          <t>Rent / Mortgage</t>
        </is>
      </c>
      <c r="C15" s="7" t="n">
        <v>0</v>
      </c>
      <c r="D15" s="8" t="n"/>
      <c r="E15" s="9" t="inlineStr">
        <is>
          <t>Fill in</t>
        </is>
      </c>
    </row>
    <row r="16">
      <c r="A16" s="6" t="inlineStr">
        <is>
          <t>Housing</t>
        </is>
      </c>
      <c r="B16" s="6" t="inlineStr">
        <is>
          <t>Other housing costs</t>
        </is>
      </c>
      <c r="C16" s="7" t="n">
        <v>0</v>
      </c>
      <c r="D16" s="8" t="n"/>
      <c r="E16" s="9" t="inlineStr">
        <is>
          <t>e.g. service charge, maintenance</t>
        </is>
      </c>
    </row>
    <row r="17">
      <c r="A17" s="10" t="inlineStr">
        <is>
          <t>Total Housing</t>
        </is>
      </c>
      <c r="B17" s="11" t="n"/>
      <c r="C17" s="12">
        <f>SUM(C15:C16)</f>
        <v/>
      </c>
      <c r="D17" s="11" t="n"/>
      <c r="E17" s="11" t="n"/>
    </row>
    <row r="19">
      <c r="A19" s="4" t="inlineStr">
        <is>
          <t>UTILITIES &amp; INSURANCE</t>
        </is>
      </c>
      <c r="B19" s="5" t="n"/>
      <c r="C19" s="5" t="n"/>
      <c r="D19" s="5" t="n"/>
      <c r="E19" s="5" t="n"/>
    </row>
    <row r="20">
      <c r="A20" s="6" t="inlineStr">
        <is>
          <t>Utilities</t>
        </is>
      </c>
      <c r="B20" s="6" t="inlineStr">
        <is>
          <t>Electricity</t>
        </is>
      </c>
      <c r="C20" s="7" t="n">
        <v>64</v>
      </c>
      <c r="D20" s="8" t="n"/>
      <c r="E20" s="9" t="inlineStr"/>
    </row>
    <row r="21">
      <c r="A21" s="6" t="inlineStr">
        <is>
          <t>Utilities</t>
        </is>
      </c>
      <c r="B21" s="6" t="inlineStr">
        <is>
          <t>WiFi</t>
        </is>
      </c>
      <c r="C21" s="7" t="n">
        <v>22</v>
      </c>
      <c r="D21" s="8" t="n"/>
      <c r="E21" s="9" t="inlineStr"/>
    </row>
    <row r="22">
      <c r="A22" s="6" t="inlineStr">
        <is>
          <t>Insurance</t>
        </is>
      </c>
      <c r="B22" s="6" t="inlineStr">
        <is>
          <t>Home insurance</t>
        </is>
      </c>
      <c r="C22" s="7" t="n">
        <v>23</v>
      </c>
      <c r="D22" s="8" t="n"/>
      <c r="E22" s="9" t="inlineStr"/>
    </row>
    <row r="23">
      <c r="A23" s="6" t="inlineStr">
        <is>
          <t>Insurance</t>
        </is>
      </c>
      <c r="B23" s="6" t="inlineStr">
        <is>
          <t>Vet insurance</t>
        </is>
      </c>
      <c r="C23" s="7" t="n">
        <v>30</v>
      </c>
      <c r="D23" s="8" t="n"/>
      <c r="E23" s="9" t="inlineStr"/>
    </row>
    <row r="24">
      <c r="A24" s="10" t="inlineStr">
        <is>
          <t>Total Utilities &amp; Insurance</t>
        </is>
      </c>
      <c r="B24" s="11" t="n"/>
      <c r="C24" s="12">
        <f>SUM(C20:C23)</f>
        <v/>
      </c>
      <c r="D24" s="11" t="n"/>
      <c r="E24" s="11" t="n"/>
    </row>
    <row r="26">
      <c r="A26" s="4" t="inlineStr">
        <is>
          <t>TRANSPORT</t>
        </is>
      </c>
      <c r="B26" s="5" t="n"/>
      <c r="C26" s="5" t="n"/>
      <c r="D26" s="5" t="n"/>
      <c r="E26" s="5" t="n"/>
    </row>
    <row r="27">
      <c r="A27" s="6" t="inlineStr">
        <is>
          <t>Transport</t>
        </is>
      </c>
      <c r="B27" s="6" t="inlineStr">
        <is>
          <t>Car expenses</t>
        </is>
      </c>
      <c r="C27" s="7" t="n">
        <v>142</v>
      </c>
      <c r="D27" s="8" t="n"/>
      <c r="E27" s="9" t="inlineStr"/>
    </row>
    <row r="28">
      <c r="A28" s="6" t="inlineStr">
        <is>
          <t>Transport</t>
        </is>
      </c>
      <c r="B28" s="6" t="inlineStr">
        <is>
          <t>Car expenses</t>
        </is>
      </c>
      <c r="C28" s="7" t="n">
        <v>100</v>
      </c>
      <c r="D28" s="8" t="n"/>
      <c r="E28" s="9" t="inlineStr"/>
    </row>
    <row r="29">
      <c r="A29" s="10" t="inlineStr">
        <is>
          <t>Total Transport</t>
        </is>
      </c>
      <c r="B29" s="11" t="n"/>
      <c r="C29" s="12">
        <f>SUM(C27:C28)</f>
        <v/>
      </c>
      <c r="D29" s="11" t="n"/>
      <c r="E29" s="11" t="n"/>
    </row>
    <row r="31">
      <c r="A31" s="4" t="inlineStr">
        <is>
          <t>SUBSCRIPTIONS</t>
        </is>
      </c>
      <c r="B31" s="5" t="n"/>
      <c r="C31" s="5" t="n"/>
      <c r="D31" s="5" t="n"/>
      <c r="E31" s="5" t="n"/>
    </row>
    <row r="32">
      <c r="A32" s="6" t="inlineStr">
        <is>
          <t>Subscriptions</t>
        </is>
      </c>
      <c r="B32" s="6" t="inlineStr">
        <is>
          <t>Spotify</t>
        </is>
      </c>
      <c r="C32" s="7" t="n">
        <v>18</v>
      </c>
      <c r="D32" s="8" t="n"/>
      <c r="E32" s="9" t="inlineStr"/>
    </row>
    <row r="33">
      <c r="A33" s="6" t="inlineStr">
        <is>
          <t>Subscriptions</t>
        </is>
      </c>
      <c r="B33" s="6" t="inlineStr">
        <is>
          <t>Netflix</t>
        </is>
      </c>
      <c r="C33" s="7" t="n">
        <v>6</v>
      </c>
      <c r="D33" s="8" t="n"/>
      <c r="E33" s="9" t="inlineStr"/>
    </row>
    <row r="34">
      <c r="A34" s="6" t="inlineStr">
        <is>
          <t>Subscriptions</t>
        </is>
      </c>
      <c r="B34" s="6" t="inlineStr">
        <is>
          <t>Amazon</t>
        </is>
      </c>
      <c r="C34" s="7" t="n">
        <v>8.99</v>
      </c>
      <c r="D34" s="8" t="n"/>
      <c r="E34" s="9" t="inlineStr"/>
    </row>
    <row r="35">
      <c r="A35" s="6" t="inlineStr">
        <is>
          <t>Subscriptions</t>
        </is>
      </c>
      <c r="B35" s="6" t="inlineStr">
        <is>
          <t>Apple</t>
        </is>
      </c>
      <c r="C35" s="7" t="n">
        <v>3</v>
      </c>
      <c r="D35" s="8" t="n"/>
      <c r="E35" s="9" t="inlineStr"/>
    </row>
    <row r="36">
      <c r="A36" s="6" t="inlineStr">
        <is>
          <t>Subscriptions</t>
        </is>
      </c>
      <c r="B36" s="6" t="inlineStr">
        <is>
          <t>Google</t>
        </is>
      </c>
      <c r="C36" s="7" t="n">
        <v>2</v>
      </c>
      <c r="D36" s="8" t="n"/>
      <c r="E36" s="9" t="inlineStr"/>
    </row>
    <row r="37">
      <c r="A37" s="6" t="inlineStr">
        <is>
          <t>Subscriptions</t>
        </is>
      </c>
      <c r="B37" s="6" t="inlineStr">
        <is>
          <t>TV licence</t>
        </is>
      </c>
      <c r="C37" s="7" t="n">
        <v>15</v>
      </c>
      <c r="D37" s="8" t="n"/>
      <c r="E37" s="9" t="inlineStr"/>
    </row>
    <row r="38">
      <c r="A38" s="6" t="inlineStr">
        <is>
          <t>Subscriptions</t>
        </is>
      </c>
      <c r="B38" s="6" t="inlineStr">
        <is>
          <t>AWS</t>
        </is>
      </c>
      <c r="C38" s="7" t="n">
        <v>5</v>
      </c>
      <c r="D38" s="8" t="n"/>
      <c r="E38" s="9" t="inlineStr"/>
    </row>
    <row r="39">
      <c r="A39" s="10" t="inlineStr">
        <is>
          <t>Total Subscriptions</t>
        </is>
      </c>
      <c r="B39" s="11" t="n"/>
      <c r="C39" s="12">
        <f>SUM(C32:C38)</f>
        <v/>
      </c>
      <c r="D39" s="11" t="n"/>
      <c r="E39" s="11" t="n"/>
    </row>
    <row r="41">
      <c r="A41" s="4" t="inlineStr">
        <is>
          <t>PERSONAL &amp; OTHER</t>
        </is>
      </c>
      <c r="B41" s="5" t="n"/>
      <c r="C41" s="5" t="n"/>
      <c r="D41" s="5" t="n"/>
      <c r="E41" s="5" t="n"/>
    </row>
    <row r="42">
      <c r="A42" s="6" t="inlineStr">
        <is>
          <t>Personal</t>
        </is>
      </c>
      <c r="B42" s="6" t="inlineStr">
        <is>
          <t>Nathan</t>
        </is>
      </c>
      <c r="C42" s="7" t="n">
        <v>150</v>
      </c>
      <c r="D42" s="8" t="n"/>
      <c r="E42" s="9" t="inlineStr"/>
    </row>
    <row r="43">
      <c r="A43" s="6" t="inlineStr">
        <is>
          <t>Personal</t>
        </is>
      </c>
      <c r="B43" s="6" t="inlineStr">
        <is>
          <t>Swimming</t>
        </is>
      </c>
      <c r="C43" s="7" t="n">
        <v>45</v>
      </c>
      <c r="D43" s="8" t="n"/>
      <c r="E43" s="9" t="inlineStr"/>
    </row>
    <row r="44">
      <c r="A44" s="10" t="inlineStr">
        <is>
          <t>Total Personal &amp; Other</t>
        </is>
      </c>
      <c r="B44" s="11" t="n"/>
      <c r="C44" s="12">
        <f>SUM(C42:C43)</f>
        <v/>
      </c>
      <c r="D44" s="11" t="n"/>
      <c r="E44" s="11" t="n"/>
    </row>
    <row r="46">
      <c r="A46" s="4" t="inlineStr">
        <is>
          <t>SAVINGS &amp; INVESTMENTS</t>
        </is>
      </c>
      <c r="B46" s="5" t="n"/>
      <c r="C46" s="5" t="n"/>
      <c r="D46" s="5" t="n"/>
      <c r="E46" s="5" t="n"/>
    </row>
    <row r="47">
      <c r="A47" s="6" t="inlineStr">
        <is>
          <t>Savings</t>
        </is>
      </c>
      <c r="B47" s="6" t="inlineStr">
        <is>
          <t>Monthly savings contribution</t>
        </is>
      </c>
      <c r="C47" s="7" t="n">
        <v>0</v>
      </c>
      <c r="D47" s="8" t="n"/>
      <c r="E47" s="9" t="inlineStr">
        <is>
          <t>Fill in</t>
        </is>
      </c>
    </row>
    <row r="48">
      <c r="A48" s="6" t="inlineStr">
        <is>
          <t>Investments</t>
        </is>
      </c>
      <c r="B48" s="6" t="inlineStr">
        <is>
          <t>Monthly investment contribution</t>
        </is>
      </c>
      <c r="C48" s="7" t="n">
        <v>0</v>
      </c>
      <c r="D48" s="8" t="n"/>
      <c r="E48" s="9" t="inlineStr">
        <is>
          <t>Fill in</t>
        </is>
      </c>
    </row>
    <row r="49">
      <c r="A49" s="10" t="inlineStr">
        <is>
          <t>Total Savings &amp; Investments</t>
        </is>
      </c>
      <c r="B49" s="11" t="n"/>
      <c r="C49" s="12">
        <f>SUM(C47:C48)</f>
        <v/>
      </c>
      <c r="D49" s="11" t="n"/>
      <c r="E49" s="11" t="n"/>
    </row>
    <row r="51">
      <c r="A51" s="4" t="inlineStr">
        <is>
          <t>SUMMARY</t>
        </is>
      </c>
      <c r="B51" s="5" t="n"/>
      <c r="C51" s="5" t="n"/>
      <c r="D51" s="5" t="n"/>
      <c r="E51" s="5" t="n"/>
    </row>
    <row r="52">
      <c r="A52" s="13" t="inlineStr">
        <is>
          <t>Total Income</t>
        </is>
      </c>
      <c r="B52" s="6" t="n"/>
      <c r="C52" s="14">
        <f>C12</f>
        <v/>
      </c>
      <c r="D52" s="6" t="n"/>
      <c r="E52" s="6" t="n"/>
    </row>
    <row r="53">
      <c r="A53" s="13" t="inlineStr">
        <is>
          <t>Total Outgoings (Housing + Expenses + Savings)</t>
        </is>
      </c>
      <c r="B53" s="6" t="n"/>
      <c r="C53" s="14">
        <f>C17+C24+C29+C39+C44+C49</f>
        <v/>
      </c>
      <c r="D53" s="6" t="n"/>
      <c r="E53" s="6" t="n"/>
    </row>
    <row r="54">
      <c r="A54" s="15" t="inlineStr">
        <is>
          <t>Net Remaining</t>
        </is>
      </c>
      <c r="B54" s="11" t="n"/>
      <c r="C54" s="16">
        <f>C12-C53</f>
        <v/>
      </c>
      <c r="D54" s="11" t="n"/>
      <c r="E54" s="11" t="n"/>
    </row>
  </sheetData>
  <dataValidations count="1">
    <dataValidation sqref="D6 D7 D8 D9 D10 D11 D15 D16 D20 D21 D22 D23 D27 D28 D32 D33 D34 D35 D36 D37 D38 D42 D43 D47 D48" showDropDown="0" showInputMessage="0" showErrorMessage="1" allowBlank="1" errorTitle="Invalid day" error="Enter a day of month between 1 and 31, or leave blank." type="whole" operator="between">
      <formula1>1</formula1>
      <formula2>31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28" customWidth="1" min="7" max="7"/>
  </cols>
  <sheetData>
    <row r="1">
      <c r="A1" s="1" t="inlineStr">
        <is>
          <t>Savings &amp; Investments Tracker</t>
        </is>
      </c>
    </row>
    <row r="2">
      <c r="A2" s="2" t="inlineStr">
        <is>
          <t>One row per account/pot. Fill in the yellow cells; totals and progress update automatically.</t>
        </is>
      </c>
    </row>
    <row r="4" ht="20" customHeight="1">
      <c r="A4" s="3" t="inlineStr">
        <is>
          <t>Account / Pot</t>
        </is>
      </c>
      <c r="B4" s="3" t="inlineStr">
        <is>
          <t>Type</t>
        </is>
      </c>
      <c r="C4" s="3" t="inlineStr">
        <is>
          <t>Starting Balance</t>
        </is>
      </c>
      <c r="D4" s="3" t="inlineStr">
        <is>
          <t>Monthly Contribution</t>
        </is>
      </c>
      <c r="E4" s="3" t="inlineStr">
        <is>
          <t>Current Balance</t>
        </is>
      </c>
      <c r="F4" s="3" t="inlineStr">
        <is>
          <t>Goal Target</t>
        </is>
      </c>
      <c r="G4" s="3" t="inlineStr">
        <is>
          <t>Notes</t>
        </is>
      </c>
    </row>
    <row r="5">
      <c r="A5" s="6" t="inlineStr">
        <is>
          <t>Emergency Fund</t>
        </is>
      </c>
      <c r="B5" s="6" t="inlineStr">
        <is>
          <t>Savings</t>
        </is>
      </c>
      <c r="C5" s="7" t="n">
        <v>0</v>
      </c>
      <c r="D5" s="7" t="n">
        <v>0</v>
      </c>
      <c r="E5" s="7" t="n">
        <v>0</v>
      </c>
      <c r="F5" s="7" t="n">
        <v>0</v>
      </c>
      <c r="G5" s="6" t="inlineStr"/>
    </row>
    <row r="6">
      <c r="A6" s="6" t="inlineStr">
        <is>
          <t>Stocks &amp; Shares ISA</t>
        </is>
      </c>
      <c r="B6" s="6" t="inlineStr">
        <is>
          <t>Investment</t>
        </is>
      </c>
      <c r="C6" s="7" t="n">
        <v>0</v>
      </c>
      <c r="D6" s="7" t="n">
        <v>0</v>
      </c>
      <c r="E6" s="7" t="n">
        <v>0</v>
      </c>
      <c r="F6" s="7" t="n">
        <v>0</v>
      </c>
      <c r="G6" s="6" t="inlineStr"/>
    </row>
    <row r="7">
      <c r="A7" s="6" t="inlineStr">
        <is>
          <t>Pension</t>
        </is>
      </c>
      <c r="B7" s="6" t="inlineStr">
        <is>
          <t>Investment</t>
        </is>
      </c>
      <c r="C7" s="7" t="n">
        <v>0</v>
      </c>
      <c r="D7" s="7" t="n">
        <v>0</v>
      </c>
      <c r="E7" s="7" t="n">
        <v>0</v>
      </c>
      <c r="F7" s="7" t="n">
        <v>0</v>
      </c>
      <c r="G7" s="6" t="inlineStr"/>
    </row>
    <row r="8">
      <c r="A8" s="6" t="n"/>
      <c r="B8" s="6" t="n"/>
      <c r="C8" s="7" t="n"/>
      <c r="D8" s="7" t="n"/>
      <c r="E8" s="7" t="n"/>
      <c r="F8" s="7" t="n"/>
      <c r="G8" s="6" t="n"/>
    </row>
    <row r="9">
      <c r="A9" s="6" t="n"/>
      <c r="B9" s="6" t="n"/>
      <c r="C9" s="7" t="n"/>
      <c r="D9" s="7" t="n"/>
      <c r="E9" s="7" t="n"/>
      <c r="F9" s="7" t="n"/>
      <c r="G9" s="6" t="n"/>
    </row>
    <row r="10">
      <c r="A10" s="6" t="n"/>
      <c r="B10" s="6" t="n"/>
      <c r="C10" s="7" t="n"/>
      <c r="D10" s="7" t="n"/>
      <c r="E10" s="7" t="n"/>
      <c r="F10" s="7" t="n"/>
      <c r="G10" s="6" t="n"/>
    </row>
    <row r="11">
      <c r="A11" s="6" t="n"/>
      <c r="B11" s="6" t="n"/>
      <c r="C11" s="7" t="n"/>
      <c r="D11" s="7" t="n"/>
      <c r="E11" s="7" t="n"/>
      <c r="F11" s="7" t="n"/>
      <c r="G11" s="6" t="n"/>
    </row>
    <row r="13">
      <c r="A13" s="10" t="inlineStr">
        <is>
          <t>TOTAL</t>
        </is>
      </c>
      <c r="B13" s="11" t="n"/>
      <c r="C13" s="12">
        <f>SUM(C5:C11)</f>
        <v/>
      </c>
      <c r="D13" s="12">
        <f>SUM(D5:D11)</f>
        <v/>
      </c>
      <c r="E13" s="12">
        <f>SUM(E5:E11)</f>
        <v/>
      </c>
      <c r="F13" s="12">
        <f>SUM(F5:F11)</f>
        <v/>
      </c>
      <c r="G13" s="11" t="n"/>
    </row>
  </sheetData>
  <dataValidations count="1">
    <dataValidation sqref="B5:B11" showDropDown="0" showInputMessage="0" showErrorMessage="0" allowBlank="1" type="list">
      <formula1>"Savings,Investment,Pension,Other"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30" customWidth="1" min="4" max="4"/>
  </cols>
  <sheetData>
    <row r="1">
      <c r="A1" s="1" t="inlineStr">
        <is>
          <t>Upcoming Expenses</t>
        </is>
      </c>
    </row>
    <row r="2">
      <c r="A2" s="2" t="inlineStr">
        <is>
          <t>One-off items that crop up as and when they come up (e.g. car MOT, a gift, a repair). Enter Amount as a positive cost — it is automatically treated as money going out. Any item whose date falls in the current Cash Flow Forecast month is pulled in automatically.</t>
        </is>
      </c>
    </row>
    <row r="4" ht="20" customHeight="1">
      <c r="A4" s="3" t="inlineStr">
        <is>
          <t>Date</t>
        </is>
      </c>
      <c r="B4" s="3" t="inlineStr">
        <is>
          <t>Description</t>
        </is>
      </c>
      <c r="C4" s="3" t="inlineStr">
        <is>
          <t>Amount</t>
        </is>
      </c>
      <c r="D4" s="3" t="inlineStr">
        <is>
          <t>Notes</t>
        </is>
      </c>
    </row>
    <row r="5">
      <c r="A5" s="17" t="n"/>
      <c r="B5" s="18" t="n"/>
      <c r="C5" s="7" t="n"/>
      <c r="D5" s="18" t="n"/>
    </row>
    <row r="6">
      <c r="A6" s="17" t="n"/>
      <c r="B6" s="18" t="n"/>
      <c r="C6" s="7" t="n"/>
      <c r="D6" s="18" t="n"/>
    </row>
    <row r="7">
      <c r="A7" s="17" t="n"/>
      <c r="B7" s="18" t="n"/>
      <c r="C7" s="7" t="n"/>
      <c r="D7" s="18" t="n"/>
    </row>
    <row r="8">
      <c r="A8" s="17" t="n"/>
      <c r="B8" s="18" t="n"/>
      <c r="C8" s="7" t="n"/>
      <c r="D8" s="18" t="n"/>
    </row>
    <row r="9">
      <c r="A9" s="17" t="n"/>
      <c r="B9" s="18" t="n"/>
      <c r="C9" s="7" t="n"/>
      <c r="D9" s="18" t="n"/>
    </row>
    <row r="10">
      <c r="A10" s="17" t="n"/>
      <c r="B10" s="18" t="n"/>
      <c r="C10" s="7" t="n"/>
      <c r="D10" s="18" t="n"/>
    </row>
    <row r="11">
      <c r="A11" s="17" t="n"/>
      <c r="B11" s="18" t="n"/>
      <c r="C11" s="7" t="n"/>
      <c r="D11" s="18" t="n"/>
    </row>
    <row r="12">
      <c r="A12" s="17" t="n"/>
      <c r="B12" s="18" t="n"/>
      <c r="C12" s="7" t="n"/>
      <c r="D12" s="18" t="n"/>
    </row>
    <row r="13">
      <c r="A13" s="17" t="n"/>
      <c r="B13" s="18" t="n"/>
      <c r="C13" s="7" t="n"/>
      <c r="D13" s="18" t="n"/>
    </row>
    <row r="14">
      <c r="A14" s="17" t="n"/>
      <c r="B14" s="18" t="n"/>
      <c r="C14" s="7" t="n"/>
      <c r="D14" s="18" t="n"/>
    </row>
    <row r="15">
      <c r="A15" s="17" t="n"/>
      <c r="B15" s="18" t="n"/>
      <c r="C15" s="7" t="n"/>
      <c r="D15" s="18" t="n"/>
    </row>
    <row r="16">
      <c r="A16" s="17" t="n"/>
      <c r="B16" s="18" t="n"/>
      <c r="C16" s="7" t="n"/>
      <c r="D16" s="18" t="n"/>
    </row>
    <row r="17">
      <c r="A17" s="17" t="n"/>
      <c r="B17" s="18" t="n"/>
      <c r="C17" s="7" t="n"/>
      <c r="D17" s="18" t="n"/>
    </row>
    <row r="18">
      <c r="A18" s="17" t="n"/>
      <c r="B18" s="18" t="n"/>
      <c r="C18" s="7" t="n"/>
      <c r="D18" s="18" t="n"/>
    </row>
    <row r="19">
      <c r="A19" s="17" t="n"/>
      <c r="B19" s="18" t="n"/>
      <c r="C19" s="7" t="n"/>
      <c r="D19" s="18" t="n"/>
    </row>
    <row r="20">
      <c r="A20" s="17" t="n"/>
      <c r="B20" s="18" t="n"/>
      <c r="C20" s="7" t="n"/>
      <c r="D20" s="18" t="n"/>
    </row>
    <row r="21">
      <c r="A21" s="17" t="n"/>
      <c r="B21" s="18" t="n"/>
      <c r="C21" s="7" t="n"/>
      <c r="D21" s="18" t="n"/>
    </row>
    <row r="22">
      <c r="A22" s="17" t="n"/>
      <c r="B22" s="18" t="n"/>
      <c r="C22" s="7" t="n"/>
      <c r="D22" s="18" t="n"/>
    </row>
    <row r="23">
      <c r="A23" s="17" t="n"/>
      <c r="B23" s="18" t="n"/>
      <c r="C23" s="7" t="n"/>
      <c r="D23" s="18" t="n"/>
    </row>
    <row r="24">
      <c r="A24" s="17" t="n"/>
      <c r="B24" s="18" t="n"/>
      <c r="C24" s="7" t="n"/>
      <c r="D24" s="18" t="n"/>
    </row>
    <row r="25">
      <c r="A25" s="17" t="n"/>
      <c r="B25" s="18" t="n"/>
      <c r="C25" s="7" t="n"/>
      <c r="D25" s="18" t="n"/>
    </row>
    <row r="26">
      <c r="A26" s="17" t="n"/>
      <c r="B26" s="18" t="n"/>
      <c r="C26" s="7" t="n"/>
      <c r="D26" s="18" t="n"/>
    </row>
    <row r="27">
      <c r="A27" s="17" t="n"/>
      <c r="B27" s="18" t="n"/>
      <c r="C27" s="7" t="n"/>
      <c r="D27" s="18" t="n"/>
    </row>
    <row r="28">
      <c r="A28" s="17" t="n"/>
      <c r="B28" s="18" t="n"/>
      <c r="C28" s="7" t="n"/>
      <c r="D28" s="18" t="n"/>
    </row>
    <row r="29">
      <c r="A29" s="17" t="n"/>
      <c r="B29" s="18" t="n"/>
      <c r="C29" s="7" t="n"/>
      <c r="D29" s="18" t="n"/>
    </row>
    <row r="30">
      <c r="A30" s="17" t="n"/>
      <c r="B30" s="18" t="n"/>
      <c r="C30" s="7" t="n"/>
      <c r="D30" s="18" t="n"/>
    </row>
    <row r="31">
      <c r="A31" s="17" t="n"/>
      <c r="B31" s="18" t="n"/>
      <c r="C31" s="7" t="n"/>
      <c r="D31" s="18" t="n"/>
    </row>
    <row r="32">
      <c r="A32" s="17" t="n"/>
      <c r="B32" s="18" t="n"/>
      <c r="C32" s="7" t="n"/>
      <c r="D32" s="18" t="n"/>
    </row>
    <row r="33">
      <c r="A33" s="17" t="n"/>
      <c r="B33" s="18" t="n"/>
      <c r="C33" s="7" t="n"/>
      <c r="D33" s="18" t="n"/>
    </row>
    <row r="34">
      <c r="A34" s="17" t="n"/>
      <c r="B34" s="18" t="n"/>
      <c r="C34" s="7" t="n"/>
      <c r="D34" s="18" t="n"/>
    </row>
    <row r="35">
      <c r="A35" s="17" t="n"/>
      <c r="B35" s="18" t="n"/>
      <c r="C35" s="7" t="n"/>
      <c r="D35" s="18" t="n"/>
    </row>
    <row r="36">
      <c r="A36" s="17" t="n"/>
      <c r="B36" s="18" t="n"/>
      <c r="C36" s="7" t="n"/>
      <c r="D36" s="18" t="n"/>
    </row>
    <row r="37">
      <c r="A37" s="17" t="n"/>
      <c r="B37" s="18" t="n"/>
      <c r="C37" s="7" t="n"/>
      <c r="D37" s="18" t="n"/>
    </row>
    <row r="38">
      <c r="A38" s="17" t="n"/>
      <c r="B38" s="18" t="n"/>
      <c r="C38" s="7" t="n"/>
      <c r="D38" s="18" t="n"/>
    </row>
    <row r="39">
      <c r="A39" s="17" t="n"/>
      <c r="B39" s="18" t="n"/>
      <c r="C39" s="7" t="n"/>
      <c r="D39" s="18" t="n"/>
    </row>
    <row r="40">
      <c r="A40" s="17" t="n"/>
      <c r="B40" s="18" t="n"/>
      <c r="C40" s="7" t="n"/>
      <c r="D40" s="18" t="n"/>
    </row>
    <row r="41">
      <c r="A41" s="17" t="n"/>
      <c r="B41" s="18" t="n"/>
      <c r="C41" s="7" t="n"/>
      <c r="D41" s="18" t="n"/>
    </row>
    <row r="42">
      <c r="A42" s="17" t="n"/>
      <c r="B42" s="18" t="n"/>
      <c r="C42" s="7" t="n"/>
      <c r="D42" s="18" t="n"/>
    </row>
    <row r="43">
      <c r="A43" s="17" t="n"/>
      <c r="B43" s="18" t="n"/>
      <c r="C43" s="7" t="n"/>
      <c r="D43" s="18" t="n"/>
    </row>
    <row r="44">
      <c r="A44" s="17" t="n"/>
      <c r="B44" s="18" t="n"/>
      <c r="C44" s="7" t="n"/>
      <c r="D44" s="18" t="n"/>
    </row>
    <row r="45">
      <c r="A45" s="17" t="n"/>
      <c r="B45" s="18" t="n"/>
      <c r="C45" s="7" t="n"/>
      <c r="D45" s="18" t="n"/>
    </row>
    <row r="46">
      <c r="A46" s="17" t="n"/>
      <c r="B46" s="18" t="n"/>
      <c r="C46" s="7" t="n"/>
      <c r="D46" s="18" t="n"/>
    </row>
    <row r="47">
      <c r="A47" s="17" t="n"/>
      <c r="B47" s="18" t="n"/>
      <c r="C47" s="7" t="n"/>
      <c r="D47" s="18" t="n"/>
    </row>
    <row r="48">
      <c r="A48" s="17" t="n"/>
      <c r="B48" s="18" t="n"/>
      <c r="C48" s="7" t="n"/>
      <c r="D48" s="18" t="n"/>
    </row>
    <row r="49">
      <c r="A49" s="17" t="n"/>
      <c r="B49" s="18" t="n"/>
      <c r="C49" s="7" t="n"/>
      <c r="D49" s="18" t="n"/>
    </row>
    <row r="50">
      <c r="A50" s="17" t="n"/>
      <c r="B50" s="18" t="n"/>
      <c r="C50" s="7" t="n"/>
      <c r="D50" s="18" t="n"/>
    </row>
    <row r="51">
      <c r="A51" s="17" t="n"/>
      <c r="B51" s="18" t="n"/>
      <c r="C51" s="7" t="n"/>
      <c r="D51" s="18" t="n"/>
    </row>
    <row r="52">
      <c r="A52" s="17" t="n"/>
      <c r="B52" s="18" t="n"/>
      <c r="C52" s="7" t="n"/>
      <c r="D52" s="18" t="n"/>
    </row>
    <row r="53">
      <c r="A53" s="17" t="n"/>
      <c r="B53" s="18" t="n"/>
      <c r="C53" s="7" t="n"/>
      <c r="D53" s="18" t="n"/>
    </row>
    <row r="54">
      <c r="A54" s="17" t="n"/>
      <c r="B54" s="18" t="n"/>
      <c r="C54" s="7" t="n"/>
      <c r="D54" s="18" t="n"/>
    </row>
    <row r="55">
      <c r="A55" s="17" t="n"/>
      <c r="B55" s="18" t="n"/>
      <c r="C55" s="7" t="n"/>
      <c r="D55" s="18" t="n"/>
    </row>
    <row r="56">
      <c r="A56" s="17" t="n"/>
      <c r="B56" s="18" t="n"/>
      <c r="C56" s="7" t="n"/>
      <c r="D56" s="18" t="n"/>
    </row>
    <row r="57">
      <c r="A57" s="17" t="n"/>
      <c r="B57" s="18" t="n"/>
      <c r="C57" s="7" t="n"/>
      <c r="D57" s="18" t="n"/>
    </row>
    <row r="58">
      <c r="A58" s="17" t="n"/>
      <c r="B58" s="18" t="n"/>
      <c r="C58" s="7" t="n"/>
      <c r="D58" s="18" t="n"/>
    </row>
    <row r="59">
      <c r="A59" s="17" t="n"/>
      <c r="B59" s="18" t="n"/>
      <c r="C59" s="7" t="n"/>
      <c r="D59" s="18" t="n"/>
    </row>
    <row r="60">
      <c r="A60" s="17" t="n"/>
      <c r="B60" s="18" t="n"/>
      <c r="C60" s="7" t="n"/>
      <c r="D60" s="18" t="n"/>
    </row>
    <row r="61">
      <c r="A61" s="17" t="n"/>
      <c r="B61" s="18" t="n"/>
      <c r="C61" s="7" t="n"/>
      <c r="D61" s="18" t="n"/>
    </row>
    <row r="62">
      <c r="A62" s="17" t="n"/>
      <c r="B62" s="18" t="n"/>
      <c r="C62" s="7" t="n"/>
      <c r="D62" s="18" t="n"/>
    </row>
    <row r="63">
      <c r="A63" s="17" t="n"/>
      <c r="B63" s="18" t="n"/>
      <c r="C63" s="7" t="n"/>
      <c r="D63" s="18" t="n"/>
    </row>
    <row r="64">
      <c r="A64" s="17" t="n"/>
      <c r="B64" s="18" t="n"/>
      <c r="C64" s="7" t="n"/>
      <c r="D64" s="1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Cash Flow Forecast</t>
        </is>
      </c>
    </row>
    <row r="2">
      <c r="A2" s="2" t="inlineStr">
        <is>
          <t>Set Forecast Month + Opening Balance below. Realised Net overrides Forecast Net for a day when filled in. Amounts are pulled from the Budget sheet by Day of Month, plus any items from Upcoming Expenses that fall in this month.</t>
        </is>
      </c>
    </row>
    <row r="4">
      <c r="A4" s="19" t="inlineStr">
        <is>
          <t>Forecast Month:</t>
        </is>
      </c>
      <c r="B4" s="20" t="n">
        <v>46235</v>
      </c>
      <c r="D4" s="19" t="inlineStr">
        <is>
          <t>Opening Balance:</t>
        </is>
      </c>
      <c r="E4" s="21" t="n">
        <v>0</v>
      </c>
    </row>
    <row r="6" ht="30" customHeight="1">
      <c r="A6" s="22" t="inlineStr">
        <is>
          <t>Date</t>
        </is>
      </c>
      <c r="B6" s="22" t="inlineStr">
        <is>
          <t>Forecast In</t>
        </is>
      </c>
      <c r="C6" s="22" t="inlineStr">
        <is>
          <t>Forecast Out</t>
        </is>
      </c>
      <c r="D6" s="22" t="inlineStr">
        <is>
          <t>Upcoming
Expenses</t>
        </is>
      </c>
      <c r="E6" s="22" t="inlineStr">
        <is>
          <t>Forecast Net</t>
        </is>
      </c>
      <c r="F6" s="22" t="inlineStr">
        <is>
          <t>Forecast
Balance</t>
        </is>
      </c>
      <c r="G6" s="22" t="inlineStr">
        <is>
          <t>Realised Net
(manual)</t>
        </is>
      </c>
      <c r="H6" s="22" t="inlineStr">
        <is>
          <t>Effective Net</t>
        </is>
      </c>
      <c r="I6" s="22" t="inlineStr">
        <is>
          <t>Effective
Balance</t>
        </is>
      </c>
    </row>
    <row r="7">
      <c r="A7" s="23">
        <f>IF(1&lt;=DAY(EOMONTH($B$4,0)),DATE(YEAR($B$4),MONTH($B$4),1),"")</f>
        <v/>
      </c>
      <c r="B7" s="14">
        <f>IF(A7="","",SUMIFS(Budget!$C$5:$C$56,Budget!$A$5:$A$56,"Income",Budget!$D$5:$D$56,1))</f>
        <v/>
      </c>
      <c r="C7" s="14">
        <f>IF(A7="","",SUMIFS(Budget!$C$5:$C$56,Budget!$A$5:$A$56,"&lt;&gt;Income",Budget!$D$5:$D$56,1))</f>
        <v/>
      </c>
      <c r="D7" s="14">
        <f>IF(A7="","",-SUMIFS('Upcoming Expenses'!$C$5:$C$64,'Upcoming Expenses'!$A$5:$A$64,A7))</f>
        <v/>
      </c>
      <c r="E7" s="14">
        <f>IF(A7="","",B7-C7+D7)</f>
        <v/>
      </c>
      <c r="F7" s="14">
        <f>IF(A7="","",$E$4+E7)</f>
        <v/>
      </c>
      <c r="G7" s="7" t="n"/>
      <c r="H7" s="14">
        <f>IF(A7="","",IF(G7&lt;&gt;"",G7,E7))</f>
        <v/>
      </c>
      <c r="I7" s="14">
        <f>IF(A7="","",$E$4+H7)</f>
        <v/>
      </c>
    </row>
    <row r="8">
      <c r="A8" s="23">
        <f>IF(2&lt;=DAY(EOMONTH($B$4,0)),DATE(YEAR($B$4),MONTH($B$4),2),"")</f>
        <v/>
      </c>
      <c r="B8" s="14">
        <f>IF(A8="","",SUMIFS(Budget!$C$5:$C$56,Budget!$A$5:$A$56,"Income",Budget!$D$5:$D$56,2))</f>
        <v/>
      </c>
      <c r="C8" s="14">
        <f>IF(A8="","",SUMIFS(Budget!$C$5:$C$56,Budget!$A$5:$A$56,"&lt;&gt;Income",Budget!$D$5:$D$56,2))</f>
        <v/>
      </c>
      <c r="D8" s="14">
        <f>IF(A8="","",-SUMIFS('Upcoming Expenses'!$C$5:$C$64,'Upcoming Expenses'!$A$5:$A$64,A8))</f>
        <v/>
      </c>
      <c r="E8" s="14">
        <f>IF(A8="","",B8-C8+D8)</f>
        <v/>
      </c>
      <c r="F8" s="14">
        <f>IF(A8="","",F7+E8)</f>
        <v/>
      </c>
      <c r="G8" s="7" t="n"/>
      <c r="H8" s="14">
        <f>IF(A8="","",IF(G8&lt;&gt;"",G8,E8))</f>
        <v/>
      </c>
      <c r="I8" s="14">
        <f>IF(A8="","",I7+H8)</f>
        <v/>
      </c>
    </row>
    <row r="9">
      <c r="A9" s="23">
        <f>IF(3&lt;=DAY(EOMONTH($B$4,0)),DATE(YEAR($B$4),MONTH($B$4),3),"")</f>
        <v/>
      </c>
      <c r="B9" s="14">
        <f>IF(A9="","",SUMIFS(Budget!$C$5:$C$56,Budget!$A$5:$A$56,"Income",Budget!$D$5:$D$56,3))</f>
        <v/>
      </c>
      <c r="C9" s="14">
        <f>IF(A9="","",SUMIFS(Budget!$C$5:$C$56,Budget!$A$5:$A$56,"&lt;&gt;Income",Budget!$D$5:$D$56,3))</f>
        <v/>
      </c>
      <c r="D9" s="14">
        <f>IF(A9="","",-SUMIFS('Upcoming Expenses'!$C$5:$C$64,'Upcoming Expenses'!$A$5:$A$64,A9))</f>
        <v/>
      </c>
      <c r="E9" s="14">
        <f>IF(A9="","",B9-C9+D9)</f>
        <v/>
      </c>
      <c r="F9" s="14">
        <f>IF(A9="","",F8+E9)</f>
        <v/>
      </c>
      <c r="G9" s="7" t="n"/>
      <c r="H9" s="14">
        <f>IF(A9="","",IF(G9&lt;&gt;"",G9,E9))</f>
        <v/>
      </c>
      <c r="I9" s="14">
        <f>IF(A9="","",I8+H9)</f>
        <v/>
      </c>
    </row>
    <row r="10">
      <c r="A10" s="23">
        <f>IF(4&lt;=DAY(EOMONTH($B$4,0)),DATE(YEAR($B$4),MONTH($B$4),4),"")</f>
        <v/>
      </c>
      <c r="B10" s="14">
        <f>IF(A10="","",SUMIFS(Budget!$C$5:$C$56,Budget!$A$5:$A$56,"Income",Budget!$D$5:$D$56,4))</f>
        <v/>
      </c>
      <c r="C10" s="14">
        <f>IF(A10="","",SUMIFS(Budget!$C$5:$C$56,Budget!$A$5:$A$56,"&lt;&gt;Income",Budget!$D$5:$D$56,4))</f>
        <v/>
      </c>
      <c r="D10" s="14">
        <f>IF(A10="","",-SUMIFS('Upcoming Expenses'!$C$5:$C$64,'Upcoming Expenses'!$A$5:$A$64,A10))</f>
        <v/>
      </c>
      <c r="E10" s="14">
        <f>IF(A10="","",B10-C10+D10)</f>
        <v/>
      </c>
      <c r="F10" s="14">
        <f>IF(A10="","",F9+E10)</f>
        <v/>
      </c>
      <c r="G10" s="7" t="n"/>
      <c r="H10" s="14">
        <f>IF(A10="","",IF(G10&lt;&gt;"",G10,E10))</f>
        <v/>
      </c>
      <c r="I10" s="14">
        <f>IF(A10="","",I9+H10)</f>
        <v/>
      </c>
    </row>
    <row r="11">
      <c r="A11" s="23">
        <f>IF(5&lt;=DAY(EOMONTH($B$4,0)),DATE(YEAR($B$4),MONTH($B$4),5),"")</f>
        <v/>
      </c>
      <c r="B11" s="14">
        <f>IF(A11="","",SUMIFS(Budget!$C$5:$C$56,Budget!$A$5:$A$56,"Income",Budget!$D$5:$D$56,5))</f>
        <v/>
      </c>
      <c r="C11" s="14">
        <f>IF(A11="","",SUMIFS(Budget!$C$5:$C$56,Budget!$A$5:$A$56,"&lt;&gt;Income",Budget!$D$5:$D$56,5))</f>
        <v/>
      </c>
      <c r="D11" s="14">
        <f>IF(A11="","",-SUMIFS('Upcoming Expenses'!$C$5:$C$64,'Upcoming Expenses'!$A$5:$A$64,A11))</f>
        <v/>
      </c>
      <c r="E11" s="14">
        <f>IF(A11="","",B11-C11+D11)</f>
        <v/>
      </c>
      <c r="F11" s="14">
        <f>IF(A11="","",F10+E11)</f>
        <v/>
      </c>
      <c r="G11" s="7" t="n"/>
      <c r="H11" s="14">
        <f>IF(A11="","",IF(G11&lt;&gt;"",G11,E11))</f>
        <v/>
      </c>
      <c r="I11" s="14">
        <f>IF(A11="","",I10+H11)</f>
        <v/>
      </c>
    </row>
    <row r="12">
      <c r="A12" s="23">
        <f>IF(6&lt;=DAY(EOMONTH($B$4,0)),DATE(YEAR($B$4),MONTH($B$4),6),"")</f>
        <v/>
      </c>
      <c r="B12" s="14">
        <f>IF(A12="","",SUMIFS(Budget!$C$5:$C$56,Budget!$A$5:$A$56,"Income",Budget!$D$5:$D$56,6))</f>
        <v/>
      </c>
      <c r="C12" s="14">
        <f>IF(A12="","",SUMIFS(Budget!$C$5:$C$56,Budget!$A$5:$A$56,"&lt;&gt;Income",Budget!$D$5:$D$56,6))</f>
        <v/>
      </c>
      <c r="D12" s="14">
        <f>IF(A12="","",-SUMIFS('Upcoming Expenses'!$C$5:$C$64,'Upcoming Expenses'!$A$5:$A$64,A12))</f>
        <v/>
      </c>
      <c r="E12" s="14">
        <f>IF(A12="","",B12-C12+D12)</f>
        <v/>
      </c>
      <c r="F12" s="14">
        <f>IF(A12="","",F11+E12)</f>
        <v/>
      </c>
      <c r="G12" s="7" t="n"/>
      <c r="H12" s="14">
        <f>IF(A12="","",IF(G12&lt;&gt;"",G12,E12))</f>
        <v/>
      </c>
      <c r="I12" s="14">
        <f>IF(A12="","",I11+H12)</f>
        <v/>
      </c>
    </row>
    <row r="13">
      <c r="A13" s="23">
        <f>IF(7&lt;=DAY(EOMONTH($B$4,0)),DATE(YEAR($B$4),MONTH($B$4),7),"")</f>
        <v/>
      </c>
      <c r="B13" s="14">
        <f>IF(A13="","",SUMIFS(Budget!$C$5:$C$56,Budget!$A$5:$A$56,"Income",Budget!$D$5:$D$56,7))</f>
        <v/>
      </c>
      <c r="C13" s="14">
        <f>IF(A13="","",SUMIFS(Budget!$C$5:$C$56,Budget!$A$5:$A$56,"&lt;&gt;Income",Budget!$D$5:$D$56,7))</f>
        <v/>
      </c>
      <c r="D13" s="14">
        <f>IF(A13="","",-SUMIFS('Upcoming Expenses'!$C$5:$C$64,'Upcoming Expenses'!$A$5:$A$64,A13))</f>
        <v/>
      </c>
      <c r="E13" s="14">
        <f>IF(A13="","",B13-C13+D13)</f>
        <v/>
      </c>
      <c r="F13" s="14">
        <f>IF(A13="","",F12+E13)</f>
        <v/>
      </c>
      <c r="G13" s="7" t="n"/>
      <c r="H13" s="14">
        <f>IF(A13="","",IF(G13&lt;&gt;"",G13,E13))</f>
        <v/>
      </c>
      <c r="I13" s="14">
        <f>IF(A13="","",I12+H13)</f>
        <v/>
      </c>
    </row>
    <row r="14">
      <c r="A14" s="23">
        <f>IF(8&lt;=DAY(EOMONTH($B$4,0)),DATE(YEAR($B$4),MONTH($B$4),8),"")</f>
        <v/>
      </c>
      <c r="B14" s="14">
        <f>IF(A14="","",SUMIFS(Budget!$C$5:$C$56,Budget!$A$5:$A$56,"Income",Budget!$D$5:$D$56,8))</f>
        <v/>
      </c>
      <c r="C14" s="14">
        <f>IF(A14="","",SUMIFS(Budget!$C$5:$C$56,Budget!$A$5:$A$56,"&lt;&gt;Income",Budget!$D$5:$D$56,8))</f>
        <v/>
      </c>
      <c r="D14" s="14">
        <f>IF(A14="","",-SUMIFS('Upcoming Expenses'!$C$5:$C$64,'Upcoming Expenses'!$A$5:$A$64,A14))</f>
        <v/>
      </c>
      <c r="E14" s="14">
        <f>IF(A14="","",B14-C14+D14)</f>
        <v/>
      </c>
      <c r="F14" s="14">
        <f>IF(A14="","",F13+E14)</f>
        <v/>
      </c>
      <c r="G14" s="7" t="n"/>
      <c r="H14" s="14">
        <f>IF(A14="","",IF(G14&lt;&gt;"",G14,E14))</f>
        <v/>
      </c>
      <c r="I14" s="14">
        <f>IF(A14="","",I13+H14)</f>
        <v/>
      </c>
    </row>
    <row r="15">
      <c r="A15" s="23">
        <f>IF(9&lt;=DAY(EOMONTH($B$4,0)),DATE(YEAR($B$4),MONTH($B$4),9),"")</f>
        <v/>
      </c>
      <c r="B15" s="14">
        <f>IF(A15="","",SUMIFS(Budget!$C$5:$C$56,Budget!$A$5:$A$56,"Income",Budget!$D$5:$D$56,9))</f>
        <v/>
      </c>
      <c r="C15" s="14">
        <f>IF(A15="","",SUMIFS(Budget!$C$5:$C$56,Budget!$A$5:$A$56,"&lt;&gt;Income",Budget!$D$5:$D$56,9))</f>
        <v/>
      </c>
      <c r="D15" s="14">
        <f>IF(A15="","",-SUMIFS('Upcoming Expenses'!$C$5:$C$64,'Upcoming Expenses'!$A$5:$A$64,A15))</f>
        <v/>
      </c>
      <c r="E15" s="14">
        <f>IF(A15="","",B15-C15+D15)</f>
        <v/>
      </c>
      <c r="F15" s="14">
        <f>IF(A15="","",F14+E15)</f>
        <v/>
      </c>
      <c r="G15" s="7" t="n"/>
      <c r="H15" s="14">
        <f>IF(A15="","",IF(G15&lt;&gt;"",G15,E15))</f>
        <v/>
      </c>
      <c r="I15" s="14">
        <f>IF(A15="","",I14+H15)</f>
        <v/>
      </c>
    </row>
    <row r="16">
      <c r="A16" s="23">
        <f>IF(10&lt;=DAY(EOMONTH($B$4,0)),DATE(YEAR($B$4),MONTH($B$4),10),"")</f>
        <v/>
      </c>
      <c r="B16" s="14">
        <f>IF(A16="","",SUMIFS(Budget!$C$5:$C$56,Budget!$A$5:$A$56,"Income",Budget!$D$5:$D$56,10))</f>
        <v/>
      </c>
      <c r="C16" s="14">
        <f>IF(A16="","",SUMIFS(Budget!$C$5:$C$56,Budget!$A$5:$A$56,"&lt;&gt;Income",Budget!$D$5:$D$56,10))</f>
        <v/>
      </c>
      <c r="D16" s="14">
        <f>IF(A16="","",-SUMIFS('Upcoming Expenses'!$C$5:$C$64,'Upcoming Expenses'!$A$5:$A$64,A16))</f>
        <v/>
      </c>
      <c r="E16" s="14">
        <f>IF(A16="","",B16-C16+D16)</f>
        <v/>
      </c>
      <c r="F16" s="14">
        <f>IF(A16="","",F15+E16)</f>
        <v/>
      </c>
      <c r="G16" s="7" t="n"/>
      <c r="H16" s="14">
        <f>IF(A16="","",IF(G16&lt;&gt;"",G16,E16))</f>
        <v/>
      </c>
      <c r="I16" s="14">
        <f>IF(A16="","",I15+H16)</f>
        <v/>
      </c>
    </row>
    <row r="17">
      <c r="A17" s="23">
        <f>IF(11&lt;=DAY(EOMONTH($B$4,0)),DATE(YEAR($B$4),MONTH($B$4),11),"")</f>
        <v/>
      </c>
      <c r="B17" s="14">
        <f>IF(A17="","",SUMIFS(Budget!$C$5:$C$56,Budget!$A$5:$A$56,"Income",Budget!$D$5:$D$56,11))</f>
        <v/>
      </c>
      <c r="C17" s="14">
        <f>IF(A17="","",SUMIFS(Budget!$C$5:$C$56,Budget!$A$5:$A$56,"&lt;&gt;Income",Budget!$D$5:$D$56,11))</f>
        <v/>
      </c>
      <c r="D17" s="14">
        <f>IF(A17="","",-SUMIFS('Upcoming Expenses'!$C$5:$C$64,'Upcoming Expenses'!$A$5:$A$64,A17))</f>
        <v/>
      </c>
      <c r="E17" s="14">
        <f>IF(A17="","",B17-C17+D17)</f>
        <v/>
      </c>
      <c r="F17" s="14">
        <f>IF(A17="","",F16+E17)</f>
        <v/>
      </c>
      <c r="G17" s="7" t="n"/>
      <c r="H17" s="14">
        <f>IF(A17="","",IF(G17&lt;&gt;"",G17,E17))</f>
        <v/>
      </c>
      <c r="I17" s="14">
        <f>IF(A17="","",I16+H17)</f>
        <v/>
      </c>
    </row>
    <row r="18">
      <c r="A18" s="23">
        <f>IF(12&lt;=DAY(EOMONTH($B$4,0)),DATE(YEAR($B$4),MONTH($B$4),12),"")</f>
        <v/>
      </c>
      <c r="B18" s="14">
        <f>IF(A18="","",SUMIFS(Budget!$C$5:$C$56,Budget!$A$5:$A$56,"Income",Budget!$D$5:$D$56,12))</f>
        <v/>
      </c>
      <c r="C18" s="14">
        <f>IF(A18="","",SUMIFS(Budget!$C$5:$C$56,Budget!$A$5:$A$56,"&lt;&gt;Income",Budget!$D$5:$D$56,12))</f>
        <v/>
      </c>
      <c r="D18" s="14">
        <f>IF(A18="","",-SUMIFS('Upcoming Expenses'!$C$5:$C$64,'Upcoming Expenses'!$A$5:$A$64,A18))</f>
        <v/>
      </c>
      <c r="E18" s="14">
        <f>IF(A18="","",B18-C18+D18)</f>
        <v/>
      </c>
      <c r="F18" s="14">
        <f>IF(A18="","",F17+E18)</f>
        <v/>
      </c>
      <c r="G18" s="7" t="n"/>
      <c r="H18" s="14">
        <f>IF(A18="","",IF(G18&lt;&gt;"",G18,E18))</f>
        <v/>
      </c>
      <c r="I18" s="14">
        <f>IF(A18="","",I17+H18)</f>
        <v/>
      </c>
    </row>
    <row r="19">
      <c r="A19" s="23">
        <f>IF(13&lt;=DAY(EOMONTH($B$4,0)),DATE(YEAR($B$4),MONTH($B$4),13),"")</f>
        <v/>
      </c>
      <c r="B19" s="14">
        <f>IF(A19="","",SUMIFS(Budget!$C$5:$C$56,Budget!$A$5:$A$56,"Income",Budget!$D$5:$D$56,13))</f>
        <v/>
      </c>
      <c r="C19" s="14">
        <f>IF(A19="","",SUMIFS(Budget!$C$5:$C$56,Budget!$A$5:$A$56,"&lt;&gt;Income",Budget!$D$5:$D$56,13))</f>
        <v/>
      </c>
      <c r="D19" s="14">
        <f>IF(A19="","",-SUMIFS('Upcoming Expenses'!$C$5:$C$64,'Upcoming Expenses'!$A$5:$A$64,A19))</f>
        <v/>
      </c>
      <c r="E19" s="14">
        <f>IF(A19="","",B19-C19+D19)</f>
        <v/>
      </c>
      <c r="F19" s="14">
        <f>IF(A19="","",F18+E19)</f>
        <v/>
      </c>
      <c r="G19" s="7" t="n"/>
      <c r="H19" s="14">
        <f>IF(A19="","",IF(G19&lt;&gt;"",G19,E19))</f>
        <v/>
      </c>
      <c r="I19" s="14">
        <f>IF(A19="","",I18+H19)</f>
        <v/>
      </c>
    </row>
    <row r="20">
      <c r="A20" s="23">
        <f>IF(14&lt;=DAY(EOMONTH($B$4,0)),DATE(YEAR($B$4),MONTH($B$4),14),"")</f>
        <v/>
      </c>
      <c r="B20" s="14">
        <f>IF(A20="","",SUMIFS(Budget!$C$5:$C$56,Budget!$A$5:$A$56,"Income",Budget!$D$5:$D$56,14))</f>
        <v/>
      </c>
      <c r="C20" s="14">
        <f>IF(A20="","",SUMIFS(Budget!$C$5:$C$56,Budget!$A$5:$A$56,"&lt;&gt;Income",Budget!$D$5:$D$56,14))</f>
        <v/>
      </c>
      <c r="D20" s="14">
        <f>IF(A20="","",-SUMIFS('Upcoming Expenses'!$C$5:$C$64,'Upcoming Expenses'!$A$5:$A$64,A20))</f>
        <v/>
      </c>
      <c r="E20" s="14">
        <f>IF(A20="","",B20-C20+D20)</f>
        <v/>
      </c>
      <c r="F20" s="14">
        <f>IF(A20="","",F19+E20)</f>
        <v/>
      </c>
      <c r="G20" s="7" t="n"/>
      <c r="H20" s="14">
        <f>IF(A20="","",IF(G20&lt;&gt;"",G20,E20))</f>
        <v/>
      </c>
      <c r="I20" s="14">
        <f>IF(A20="","",I19+H20)</f>
        <v/>
      </c>
    </row>
    <row r="21">
      <c r="A21" s="23">
        <f>IF(15&lt;=DAY(EOMONTH($B$4,0)),DATE(YEAR($B$4),MONTH($B$4),15),"")</f>
        <v/>
      </c>
      <c r="B21" s="14">
        <f>IF(A21="","",SUMIFS(Budget!$C$5:$C$56,Budget!$A$5:$A$56,"Income",Budget!$D$5:$D$56,15))</f>
        <v/>
      </c>
      <c r="C21" s="14">
        <f>IF(A21="","",SUMIFS(Budget!$C$5:$C$56,Budget!$A$5:$A$56,"&lt;&gt;Income",Budget!$D$5:$D$56,15))</f>
        <v/>
      </c>
      <c r="D21" s="14">
        <f>IF(A21="","",-SUMIFS('Upcoming Expenses'!$C$5:$C$64,'Upcoming Expenses'!$A$5:$A$64,A21))</f>
        <v/>
      </c>
      <c r="E21" s="14">
        <f>IF(A21="","",B21-C21+D21)</f>
        <v/>
      </c>
      <c r="F21" s="14">
        <f>IF(A21="","",F20+E21)</f>
        <v/>
      </c>
      <c r="G21" s="7" t="n"/>
      <c r="H21" s="14">
        <f>IF(A21="","",IF(G21&lt;&gt;"",G21,E21))</f>
        <v/>
      </c>
      <c r="I21" s="14">
        <f>IF(A21="","",I20+H21)</f>
        <v/>
      </c>
    </row>
    <row r="22">
      <c r="A22" s="23">
        <f>IF(16&lt;=DAY(EOMONTH($B$4,0)),DATE(YEAR($B$4),MONTH($B$4),16),"")</f>
        <v/>
      </c>
      <c r="B22" s="14">
        <f>IF(A22="","",SUMIFS(Budget!$C$5:$C$56,Budget!$A$5:$A$56,"Income",Budget!$D$5:$D$56,16))</f>
        <v/>
      </c>
      <c r="C22" s="14">
        <f>IF(A22="","",SUMIFS(Budget!$C$5:$C$56,Budget!$A$5:$A$56,"&lt;&gt;Income",Budget!$D$5:$D$56,16))</f>
        <v/>
      </c>
      <c r="D22" s="14">
        <f>IF(A22="","",-SUMIFS('Upcoming Expenses'!$C$5:$C$64,'Upcoming Expenses'!$A$5:$A$64,A22))</f>
        <v/>
      </c>
      <c r="E22" s="14">
        <f>IF(A22="","",B22-C22+D22)</f>
        <v/>
      </c>
      <c r="F22" s="14">
        <f>IF(A22="","",F21+E22)</f>
        <v/>
      </c>
      <c r="G22" s="7" t="n"/>
      <c r="H22" s="14">
        <f>IF(A22="","",IF(G22&lt;&gt;"",G22,E22))</f>
        <v/>
      </c>
      <c r="I22" s="14">
        <f>IF(A22="","",I21+H22)</f>
        <v/>
      </c>
    </row>
    <row r="23">
      <c r="A23" s="23">
        <f>IF(17&lt;=DAY(EOMONTH($B$4,0)),DATE(YEAR($B$4),MONTH($B$4),17),"")</f>
        <v/>
      </c>
      <c r="B23" s="14">
        <f>IF(A23="","",SUMIFS(Budget!$C$5:$C$56,Budget!$A$5:$A$56,"Income",Budget!$D$5:$D$56,17))</f>
        <v/>
      </c>
      <c r="C23" s="14">
        <f>IF(A23="","",SUMIFS(Budget!$C$5:$C$56,Budget!$A$5:$A$56,"&lt;&gt;Income",Budget!$D$5:$D$56,17))</f>
        <v/>
      </c>
      <c r="D23" s="14">
        <f>IF(A23="","",-SUMIFS('Upcoming Expenses'!$C$5:$C$64,'Upcoming Expenses'!$A$5:$A$64,A23))</f>
        <v/>
      </c>
      <c r="E23" s="14">
        <f>IF(A23="","",B23-C23+D23)</f>
        <v/>
      </c>
      <c r="F23" s="14">
        <f>IF(A23="","",F22+E23)</f>
        <v/>
      </c>
      <c r="G23" s="7" t="n"/>
      <c r="H23" s="14">
        <f>IF(A23="","",IF(G23&lt;&gt;"",G23,E23))</f>
        <v/>
      </c>
      <c r="I23" s="14">
        <f>IF(A23="","",I22+H23)</f>
        <v/>
      </c>
    </row>
    <row r="24">
      <c r="A24" s="23">
        <f>IF(18&lt;=DAY(EOMONTH($B$4,0)),DATE(YEAR($B$4),MONTH($B$4),18),"")</f>
        <v/>
      </c>
      <c r="B24" s="14">
        <f>IF(A24="","",SUMIFS(Budget!$C$5:$C$56,Budget!$A$5:$A$56,"Income",Budget!$D$5:$D$56,18))</f>
        <v/>
      </c>
      <c r="C24" s="14">
        <f>IF(A24="","",SUMIFS(Budget!$C$5:$C$56,Budget!$A$5:$A$56,"&lt;&gt;Income",Budget!$D$5:$D$56,18))</f>
        <v/>
      </c>
      <c r="D24" s="14">
        <f>IF(A24="","",-SUMIFS('Upcoming Expenses'!$C$5:$C$64,'Upcoming Expenses'!$A$5:$A$64,A24))</f>
        <v/>
      </c>
      <c r="E24" s="14">
        <f>IF(A24="","",B24-C24+D24)</f>
        <v/>
      </c>
      <c r="F24" s="14">
        <f>IF(A24="","",F23+E24)</f>
        <v/>
      </c>
      <c r="G24" s="7" t="n"/>
      <c r="H24" s="14">
        <f>IF(A24="","",IF(G24&lt;&gt;"",G24,E24))</f>
        <v/>
      </c>
      <c r="I24" s="14">
        <f>IF(A24="","",I23+H24)</f>
        <v/>
      </c>
    </row>
    <row r="25">
      <c r="A25" s="23">
        <f>IF(19&lt;=DAY(EOMONTH($B$4,0)),DATE(YEAR($B$4),MONTH($B$4),19),"")</f>
        <v/>
      </c>
      <c r="B25" s="14">
        <f>IF(A25="","",SUMIFS(Budget!$C$5:$C$56,Budget!$A$5:$A$56,"Income",Budget!$D$5:$D$56,19))</f>
        <v/>
      </c>
      <c r="C25" s="14">
        <f>IF(A25="","",SUMIFS(Budget!$C$5:$C$56,Budget!$A$5:$A$56,"&lt;&gt;Income",Budget!$D$5:$D$56,19))</f>
        <v/>
      </c>
      <c r="D25" s="14">
        <f>IF(A25="","",-SUMIFS('Upcoming Expenses'!$C$5:$C$64,'Upcoming Expenses'!$A$5:$A$64,A25))</f>
        <v/>
      </c>
      <c r="E25" s="14">
        <f>IF(A25="","",B25-C25+D25)</f>
        <v/>
      </c>
      <c r="F25" s="14">
        <f>IF(A25="","",F24+E25)</f>
        <v/>
      </c>
      <c r="G25" s="7" t="n"/>
      <c r="H25" s="14">
        <f>IF(A25="","",IF(G25&lt;&gt;"",G25,E25))</f>
        <v/>
      </c>
      <c r="I25" s="14">
        <f>IF(A25="","",I24+H25)</f>
        <v/>
      </c>
    </row>
    <row r="26">
      <c r="A26" s="23">
        <f>IF(20&lt;=DAY(EOMONTH($B$4,0)),DATE(YEAR($B$4),MONTH($B$4),20),"")</f>
        <v/>
      </c>
      <c r="B26" s="14">
        <f>IF(A26="","",SUMIFS(Budget!$C$5:$C$56,Budget!$A$5:$A$56,"Income",Budget!$D$5:$D$56,20))</f>
        <v/>
      </c>
      <c r="C26" s="14">
        <f>IF(A26="","",SUMIFS(Budget!$C$5:$C$56,Budget!$A$5:$A$56,"&lt;&gt;Income",Budget!$D$5:$D$56,20))</f>
        <v/>
      </c>
      <c r="D26" s="14">
        <f>IF(A26="","",-SUMIFS('Upcoming Expenses'!$C$5:$C$64,'Upcoming Expenses'!$A$5:$A$64,A26))</f>
        <v/>
      </c>
      <c r="E26" s="14">
        <f>IF(A26="","",B26-C26+D26)</f>
        <v/>
      </c>
      <c r="F26" s="14">
        <f>IF(A26="","",F25+E26)</f>
        <v/>
      </c>
      <c r="G26" s="7" t="n"/>
      <c r="H26" s="14">
        <f>IF(A26="","",IF(G26&lt;&gt;"",G26,E26))</f>
        <v/>
      </c>
      <c r="I26" s="14">
        <f>IF(A26="","",I25+H26)</f>
        <v/>
      </c>
    </row>
    <row r="27">
      <c r="A27" s="23">
        <f>IF(21&lt;=DAY(EOMONTH($B$4,0)),DATE(YEAR($B$4),MONTH($B$4),21),"")</f>
        <v/>
      </c>
      <c r="B27" s="14">
        <f>IF(A27="","",SUMIFS(Budget!$C$5:$C$56,Budget!$A$5:$A$56,"Income",Budget!$D$5:$D$56,21))</f>
        <v/>
      </c>
      <c r="C27" s="14">
        <f>IF(A27="","",SUMIFS(Budget!$C$5:$C$56,Budget!$A$5:$A$56,"&lt;&gt;Income",Budget!$D$5:$D$56,21))</f>
        <v/>
      </c>
      <c r="D27" s="14">
        <f>IF(A27="","",-SUMIFS('Upcoming Expenses'!$C$5:$C$64,'Upcoming Expenses'!$A$5:$A$64,A27))</f>
        <v/>
      </c>
      <c r="E27" s="14">
        <f>IF(A27="","",B27-C27+D27)</f>
        <v/>
      </c>
      <c r="F27" s="14">
        <f>IF(A27="","",F26+E27)</f>
        <v/>
      </c>
      <c r="G27" s="7" t="n"/>
      <c r="H27" s="14">
        <f>IF(A27="","",IF(G27&lt;&gt;"",G27,E27))</f>
        <v/>
      </c>
      <c r="I27" s="14">
        <f>IF(A27="","",I26+H27)</f>
        <v/>
      </c>
    </row>
    <row r="28">
      <c r="A28" s="23">
        <f>IF(22&lt;=DAY(EOMONTH($B$4,0)),DATE(YEAR($B$4),MONTH($B$4),22),"")</f>
        <v/>
      </c>
      <c r="B28" s="14">
        <f>IF(A28="","",SUMIFS(Budget!$C$5:$C$56,Budget!$A$5:$A$56,"Income",Budget!$D$5:$D$56,22))</f>
        <v/>
      </c>
      <c r="C28" s="14">
        <f>IF(A28="","",SUMIFS(Budget!$C$5:$C$56,Budget!$A$5:$A$56,"&lt;&gt;Income",Budget!$D$5:$D$56,22))</f>
        <v/>
      </c>
      <c r="D28" s="14">
        <f>IF(A28="","",-SUMIFS('Upcoming Expenses'!$C$5:$C$64,'Upcoming Expenses'!$A$5:$A$64,A28))</f>
        <v/>
      </c>
      <c r="E28" s="14">
        <f>IF(A28="","",B28-C28+D28)</f>
        <v/>
      </c>
      <c r="F28" s="14">
        <f>IF(A28="","",F27+E28)</f>
        <v/>
      </c>
      <c r="G28" s="7" t="n"/>
      <c r="H28" s="14">
        <f>IF(A28="","",IF(G28&lt;&gt;"",G28,E28))</f>
        <v/>
      </c>
      <c r="I28" s="14">
        <f>IF(A28="","",I27+H28)</f>
        <v/>
      </c>
    </row>
    <row r="29">
      <c r="A29" s="23">
        <f>IF(23&lt;=DAY(EOMONTH($B$4,0)),DATE(YEAR($B$4),MONTH($B$4),23),"")</f>
        <v/>
      </c>
      <c r="B29" s="14">
        <f>IF(A29="","",SUMIFS(Budget!$C$5:$C$56,Budget!$A$5:$A$56,"Income",Budget!$D$5:$D$56,23))</f>
        <v/>
      </c>
      <c r="C29" s="14">
        <f>IF(A29="","",SUMIFS(Budget!$C$5:$C$56,Budget!$A$5:$A$56,"&lt;&gt;Income",Budget!$D$5:$D$56,23))</f>
        <v/>
      </c>
      <c r="D29" s="14">
        <f>IF(A29="","",-SUMIFS('Upcoming Expenses'!$C$5:$C$64,'Upcoming Expenses'!$A$5:$A$64,A29))</f>
        <v/>
      </c>
      <c r="E29" s="14">
        <f>IF(A29="","",B29-C29+D29)</f>
        <v/>
      </c>
      <c r="F29" s="14">
        <f>IF(A29="","",F28+E29)</f>
        <v/>
      </c>
      <c r="G29" s="7" t="n"/>
      <c r="H29" s="14">
        <f>IF(A29="","",IF(G29&lt;&gt;"",G29,E29))</f>
        <v/>
      </c>
      <c r="I29" s="14">
        <f>IF(A29="","",I28+H29)</f>
        <v/>
      </c>
    </row>
    <row r="30">
      <c r="A30" s="23">
        <f>IF(24&lt;=DAY(EOMONTH($B$4,0)),DATE(YEAR($B$4),MONTH($B$4),24),"")</f>
        <v/>
      </c>
      <c r="B30" s="14">
        <f>IF(A30="","",SUMIFS(Budget!$C$5:$C$56,Budget!$A$5:$A$56,"Income",Budget!$D$5:$D$56,24))</f>
        <v/>
      </c>
      <c r="C30" s="14">
        <f>IF(A30="","",SUMIFS(Budget!$C$5:$C$56,Budget!$A$5:$A$56,"&lt;&gt;Income",Budget!$D$5:$D$56,24))</f>
        <v/>
      </c>
      <c r="D30" s="14">
        <f>IF(A30="","",-SUMIFS('Upcoming Expenses'!$C$5:$C$64,'Upcoming Expenses'!$A$5:$A$64,A30))</f>
        <v/>
      </c>
      <c r="E30" s="14">
        <f>IF(A30="","",B30-C30+D30)</f>
        <v/>
      </c>
      <c r="F30" s="14">
        <f>IF(A30="","",F29+E30)</f>
        <v/>
      </c>
      <c r="G30" s="7" t="n"/>
      <c r="H30" s="14">
        <f>IF(A30="","",IF(G30&lt;&gt;"",G30,E30))</f>
        <v/>
      </c>
      <c r="I30" s="14">
        <f>IF(A30="","",I29+H30)</f>
        <v/>
      </c>
    </row>
    <row r="31">
      <c r="A31" s="23">
        <f>IF(25&lt;=DAY(EOMONTH($B$4,0)),DATE(YEAR($B$4),MONTH($B$4),25),"")</f>
        <v/>
      </c>
      <c r="B31" s="14">
        <f>IF(A31="","",SUMIFS(Budget!$C$5:$C$56,Budget!$A$5:$A$56,"Income",Budget!$D$5:$D$56,25))</f>
        <v/>
      </c>
      <c r="C31" s="14">
        <f>IF(A31="","",SUMIFS(Budget!$C$5:$C$56,Budget!$A$5:$A$56,"&lt;&gt;Income",Budget!$D$5:$D$56,25))</f>
        <v/>
      </c>
      <c r="D31" s="14">
        <f>IF(A31="","",-SUMIFS('Upcoming Expenses'!$C$5:$C$64,'Upcoming Expenses'!$A$5:$A$64,A31))</f>
        <v/>
      </c>
      <c r="E31" s="14">
        <f>IF(A31="","",B31-C31+D31)</f>
        <v/>
      </c>
      <c r="F31" s="14">
        <f>IF(A31="","",F30+E31)</f>
        <v/>
      </c>
      <c r="G31" s="7" t="n"/>
      <c r="H31" s="14">
        <f>IF(A31="","",IF(G31&lt;&gt;"",G31,E31))</f>
        <v/>
      </c>
      <c r="I31" s="14">
        <f>IF(A31="","",I30+H31)</f>
        <v/>
      </c>
    </row>
    <row r="32">
      <c r="A32" s="23">
        <f>IF(26&lt;=DAY(EOMONTH($B$4,0)),DATE(YEAR($B$4),MONTH($B$4),26),"")</f>
        <v/>
      </c>
      <c r="B32" s="14">
        <f>IF(A32="","",SUMIFS(Budget!$C$5:$C$56,Budget!$A$5:$A$56,"Income",Budget!$D$5:$D$56,26))</f>
        <v/>
      </c>
      <c r="C32" s="14">
        <f>IF(A32="","",SUMIFS(Budget!$C$5:$C$56,Budget!$A$5:$A$56,"&lt;&gt;Income",Budget!$D$5:$D$56,26))</f>
        <v/>
      </c>
      <c r="D32" s="14">
        <f>IF(A32="","",-SUMIFS('Upcoming Expenses'!$C$5:$C$64,'Upcoming Expenses'!$A$5:$A$64,A32))</f>
        <v/>
      </c>
      <c r="E32" s="14">
        <f>IF(A32="","",B32-C32+D32)</f>
        <v/>
      </c>
      <c r="F32" s="14">
        <f>IF(A32="","",F31+E32)</f>
        <v/>
      </c>
      <c r="G32" s="7" t="n"/>
      <c r="H32" s="14">
        <f>IF(A32="","",IF(G32&lt;&gt;"",G32,E32))</f>
        <v/>
      </c>
      <c r="I32" s="14">
        <f>IF(A32="","",I31+H32)</f>
        <v/>
      </c>
    </row>
    <row r="33">
      <c r="A33" s="23">
        <f>IF(27&lt;=DAY(EOMONTH($B$4,0)),DATE(YEAR($B$4),MONTH($B$4),27),"")</f>
        <v/>
      </c>
      <c r="B33" s="14">
        <f>IF(A33="","",SUMIFS(Budget!$C$5:$C$56,Budget!$A$5:$A$56,"Income",Budget!$D$5:$D$56,27))</f>
        <v/>
      </c>
      <c r="C33" s="14">
        <f>IF(A33="","",SUMIFS(Budget!$C$5:$C$56,Budget!$A$5:$A$56,"&lt;&gt;Income",Budget!$D$5:$D$56,27))</f>
        <v/>
      </c>
      <c r="D33" s="14">
        <f>IF(A33="","",-SUMIFS('Upcoming Expenses'!$C$5:$C$64,'Upcoming Expenses'!$A$5:$A$64,A33))</f>
        <v/>
      </c>
      <c r="E33" s="14">
        <f>IF(A33="","",B33-C33+D33)</f>
        <v/>
      </c>
      <c r="F33" s="14">
        <f>IF(A33="","",F32+E33)</f>
        <v/>
      </c>
      <c r="G33" s="7" t="n"/>
      <c r="H33" s="14">
        <f>IF(A33="","",IF(G33&lt;&gt;"",G33,E33))</f>
        <v/>
      </c>
      <c r="I33" s="14">
        <f>IF(A33="","",I32+H33)</f>
        <v/>
      </c>
    </row>
    <row r="34">
      <c r="A34" s="23">
        <f>IF(28&lt;=DAY(EOMONTH($B$4,0)),DATE(YEAR($B$4),MONTH($B$4),28),"")</f>
        <v/>
      </c>
      <c r="B34" s="14">
        <f>IF(A34="","",SUMIFS(Budget!$C$5:$C$56,Budget!$A$5:$A$56,"Income",Budget!$D$5:$D$56,28))</f>
        <v/>
      </c>
      <c r="C34" s="14">
        <f>IF(A34="","",SUMIFS(Budget!$C$5:$C$56,Budget!$A$5:$A$56,"&lt;&gt;Income",Budget!$D$5:$D$56,28))</f>
        <v/>
      </c>
      <c r="D34" s="14">
        <f>IF(A34="","",-SUMIFS('Upcoming Expenses'!$C$5:$C$64,'Upcoming Expenses'!$A$5:$A$64,A34))</f>
        <v/>
      </c>
      <c r="E34" s="14">
        <f>IF(A34="","",B34-C34+D34)</f>
        <v/>
      </c>
      <c r="F34" s="14">
        <f>IF(A34="","",F33+E34)</f>
        <v/>
      </c>
      <c r="G34" s="7" t="n"/>
      <c r="H34" s="14">
        <f>IF(A34="","",IF(G34&lt;&gt;"",G34,E34))</f>
        <v/>
      </c>
      <c r="I34" s="14">
        <f>IF(A34="","",I33+H34)</f>
        <v/>
      </c>
    </row>
    <row r="35">
      <c r="A35" s="23">
        <f>IF(29&lt;=DAY(EOMONTH($B$4,0)),DATE(YEAR($B$4),MONTH($B$4),29),"")</f>
        <v/>
      </c>
      <c r="B35" s="14">
        <f>IF(A35="","",SUMIFS(Budget!$C$5:$C$56,Budget!$A$5:$A$56,"Income",Budget!$D$5:$D$56,29))</f>
        <v/>
      </c>
      <c r="C35" s="14">
        <f>IF(A35="","",SUMIFS(Budget!$C$5:$C$56,Budget!$A$5:$A$56,"&lt;&gt;Income",Budget!$D$5:$D$56,29))</f>
        <v/>
      </c>
      <c r="D35" s="14">
        <f>IF(A35="","",-SUMIFS('Upcoming Expenses'!$C$5:$C$64,'Upcoming Expenses'!$A$5:$A$64,A35))</f>
        <v/>
      </c>
      <c r="E35" s="14">
        <f>IF(A35="","",B35-C35+D35)</f>
        <v/>
      </c>
      <c r="F35" s="14">
        <f>IF(A35="","",F34+E35)</f>
        <v/>
      </c>
      <c r="G35" s="7" t="n"/>
      <c r="H35" s="14">
        <f>IF(A35="","",IF(G35&lt;&gt;"",G35,E35))</f>
        <v/>
      </c>
      <c r="I35" s="14">
        <f>IF(A35="","",I34+H35)</f>
        <v/>
      </c>
    </row>
    <row r="36">
      <c r="A36" s="23">
        <f>IF(30&lt;=DAY(EOMONTH($B$4,0)),DATE(YEAR($B$4),MONTH($B$4),30),"")</f>
        <v/>
      </c>
      <c r="B36" s="14">
        <f>IF(A36="","",SUMIFS(Budget!$C$5:$C$56,Budget!$A$5:$A$56,"Income",Budget!$D$5:$D$56,30))</f>
        <v/>
      </c>
      <c r="C36" s="14">
        <f>IF(A36="","",SUMIFS(Budget!$C$5:$C$56,Budget!$A$5:$A$56,"&lt;&gt;Income",Budget!$D$5:$D$56,30))</f>
        <v/>
      </c>
      <c r="D36" s="14">
        <f>IF(A36="","",-SUMIFS('Upcoming Expenses'!$C$5:$C$64,'Upcoming Expenses'!$A$5:$A$64,A36))</f>
        <v/>
      </c>
      <c r="E36" s="14">
        <f>IF(A36="","",B36-C36+D36)</f>
        <v/>
      </c>
      <c r="F36" s="14">
        <f>IF(A36="","",F35+E36)</f>
        <v/>
      </c>
      <c r="G36" s="7" t="n"/>
      <c r="H36" s="14">
        <f>IF(A36="","",IF(G36&lt;&gt;"",G36,E36))</f>
        <v/>
      </c>
      <c r="I36" s="14">
        <f>IF(A36="","",I35+H36)</f>
        <v/>
      </c>
    </row>
    <row r="37">
      <c r="A37" s="23">
        <f>IF(31&lt;=DAY(EOMONTH($B$4,0)),DATE(YEAR($B$4),MONTH($B$4),31),"")</f>
        <v/>
      </c>
      <c r="B37" s="14">
        <f>IF(A37="","",SUMIFS(Budget!$C$5:$C$56,Budget!$A$5:$A$56,"Income",Budget!$D$5:$D$56,31))</f>
        <v/>
      </c>
      <c r="C37" s="14">
        <f>IF(A37="","",SUMIFS(Budget!$C$5:$C$56,Budget!$A$5:$A$56,"&lt;&gt;Income",Budget!$D$5:$D$56,31))</f>
        <v/>
      </c>
      <c r="D37" s="14">
        <f>IF(A37="","",-SUMIFS('Upcoming Expenses'!$C$5:$C$64,'Upcoming Expenses'!$A$5:$A$64,A37))</f>
        <v/>
      </c>
      <c r="E37" s="14">
        <f>IF(A37="","",B37-C37+D37)</f>
        <v/>
      </c>
      <c r="F37" s="14">
        <f>IF(A37="","",F36+E37)</f>
        <v/>
      </c>
      <c r="G37" s="7" t="n"/>
      <c r="H37" s="14">
        <f>IF(A37="","",IF(G37&lt;&gt;"",G37,E37))</f>
        <v/>
      </c>
      <c r="I37" s="14">
        <f>IF(A37="","",I36+H37)</f>
        <v/>
      </c>
    </row>
    <row r="39">
      <c r="A39" s="10" t="inlineStr">
        <is>
          <t>Month Closing Balance (Forecast):</t>
        </is>
      </c>
      <c r="C39" s="12">
        <f>LOOKUP(2,1/($A$7:$A$37&lt;&gt;""),$F$7:$F$37)</f>
        <v/>
      </c>
    </row>
    <row r="40">
      <c r="A40" s="10" t="inlineStr">
        <is>
          <t>Month Closing Balance (Effective):</t>
        </is>
      </c>
      <c r="C40" s="12">
        <f>LOOKUP(2,1/($A$7:$A$37&lt;&gt;""),$I$7:$I$37)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2026-08-02T12:56:51Z</dcterms:created>
  <dcterms:modified xsi:type="dcterms:W3CDTF">2026-08-02T12:56:51Z</dcterms:modified>
</cp:coreProperties>
</file>